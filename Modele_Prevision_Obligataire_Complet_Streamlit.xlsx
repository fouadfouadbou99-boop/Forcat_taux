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ukhnif\Desktop\Dossier Applications Streamli\Analyse_obligataire\Forcast_taux\"/>
    </mc:Choice>
  </mc:AlternateContent>
  <xr:revisionPtr revIDLastSave="0" documentId="8_{1A0E6564-7DFE-40D1-B828-D65643B579E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1_PARAMETRES" sheetId="1" r:id="rId1"/>
    <sheet name="02_PORTEFEUILLE" sheetId="2" r:id="rId2"/>
    <sheet name="03_SCENA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  <c r="L2" i="2"/>
  <c r="D4" i="3"/>
  <c r="D3" i="3"/>
  <c r="D2" i="3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<sst xmlns="http://schemas.openxmlformats.org/spreadsheetml/2006/main" count="34" uniqueCount="33">
  <si>
    <t>Parametre</t>
  </si>
  <si>
    <t>Valeur</t>
  </si>
  <si>
    <t>Horizon</t>
  </si>
  <si>
    <t>Delta_bps</t>
  </si>
  <si>
    <t>Prob_Favorable</t>
  </si>
  <si>
    <t>Prob_Central</t>
  </si>
  <si>
    <t>Prob_Defavorable</t>
  </si>
  <si>
    <t>ISIN</t>
  </si>
  <si>
    <t>Maturite</t>
  </si>
  <si>
    <t>Encours</t>
  </si>
  <si>
    <t>YTM</t>
  </si>
  <si>
    <t>Duration</t>
  </si>
  <si>
    <t>Convexity</t>
  </si>
  <si>
    <t>RollDown</t>
  </si>
  <si>
    <t>Poids</t>
  </si>
  <si>
    <t>Total Return</t>
  </si>
  <si>
    <t>MA0001</t>
  </si>
  <si>
    <t>Performance Portefeuille</t>
  </si>
  <si>
    <t>MA0002</t>
  </si>
  <si>
    <t>MA0003</t>
  </si>
  <si>
    <t>MA0004</t>
  </si>
  <si>
    <t>MA0005</t>
  </si>
  <si>
    <t>MA0006</t>
  </si>
  <si>
    <t>MA0007</t>
  </si>
  <si>
    <t>MA0008</t>
  </si>
  <si>
    <t>MA0009</t>
  </si>
  <si>
    <t>Scenario</t>
  </si>
  <si>
    <t>Probabilite</t>
  </si>
  <si>
    <t>Performance</t>
  </si>
  <si>
    <t>Favorable</t>
  </si>
  <si>
    <t>Central</t>
  </si>
  <si>
    <t>Defavorable</t>
  </si>
  <si>
    <t>Esperance de rentabilite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</si>
</sst>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2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-20</v>
      </c>
    </row>
    <row r="4" spans="1:2" x14ac:dyDescent="0.25">
      <c r="A4" t="s">
        <v>4</v>
      </c>
      <c r="B4">
        <v>0.2</v>
      </c>
    </row>
    <row r="5" spans="1:2" x14ac:dyDescent="0.25">
      <c r="A5" t="s">
        <v>5</v>
      </c>
      <c r="B5">
        <v>0.8</v>
      </c>
    </row>
    <row r="6" spans="1:2" x14ac:dyDescent="0.25">
      <c r="A6" t="s">
        <v>6</v>
      </c>
      <c r="B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activeCell="K11" sqref="K11"/>
    </sheetView>
  </sheetViews>
  <sheetFormatPr baseColWidth="10" defaultColWidth="9.140625" defaultRowHeight="15" x14ac:dyDescent="0.25"/>
  <cols>
    <col min="3" max="3" width="15.140625" bestFit="1" customWidth="1"/>
  </cols>
  <sheetData>
    <row r="1" spans="1:12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12" x14ac:dyDescent="0.25">
      <c r="A2" t="s">
        <v>16</v>
      </c>
      <c r="B2">
        <v>0.25</v>
      </c>
      <c r="C2" s="1">
        <v>50000000</v>
      </c>
      <c r="D2">
        <v>2.21</v>
      </c>
      <c r="E2">
        <v>0.25</v>
      </c>
      <c r="F2">
        <v>0.1</v>
      </c>
      <c r="G2">
        <v>5.0000000000000001E-4</v>
      </c>
      <c r="H2">
        <v>0.05</v>
      </c>
      <c r="I2">
        <f>(D2/100)*'01_PARAMETRES'!$B$2+G2-E2*('01_PARAMETRES'!$B$3/10000)+0.5*F2*(('01_PARAMETRES'!$B$3/10000)^2)</f>
        <v>2.3100199999999998E-2</v>
      </c>
      <c r="K2" t="s">
        <v>17</v>
      </c>
      <c r="L2">
        <f>SUMPRODUCT(H2:H10,I2:I10)</f>
        <v>6.1261360000000008E-2</v>
      </c>
    </row>
    <row r="3" spans="1:12" x14ac:dyDescent="0.25">
      <c r="A3" t="s">
        <v>18</v>
      </c>
      <c r="B3">
        <v>0.5</v>
      </c>
      <c r="C3" s="1">
        <v>50000000</v>
      </c>
      <c r="D3">
        <v>2.25</v>
      </c>
      <c r="E3">
        <v>0.5</v>
      </c>
      <c r="F3">
        <v>0.1</v>
      </c>
      <c r="G3">
        <v>5.0000000000000001E-4</v>
      </c>
      <c r="H3">
        <v>0.05</v>
      </c>
      <c r="I3">
        <f>(D3/100)*'01_PARAMETRES'!$B$2+G3-E3*('01_PARAMETRES'!$B$3/10000)+0.5*F3*(('01_PARAMETRES'!$B$3/10000)^2)</f>
        <v>2.4000199999999999E-2</v>
      </c>
    </row>
    <row r="4" spans="1:12" x14ac:dyDescent="0.25">
      <c r="A4" t="s">
        <v>19</v>
      </c>
      <c r="B4">
        <v>1</v>
      </c>
      <c r="C4" s="1">
        <v>100000000</v>
      </c>
      <c r="D4">
        <v>2.34</v>
      </c>
      <c r="E4">
        <v>0.95</v>
      </c>
      <c r="F4">
        <v>0.2</v>
      </c>
      <c r="G4">
        <v>2E-3</v>
      </c>
      <c r="H4">
        <v>0.1</v>
      </c>
      <c r="I4">
        <f>(D4/100)*'01_PARAMETRES'!$B$2+G4-E4*('01_PARAMETRES'!$B$3/10000)+0.5*F4*(('01_PARAMETRES'!$B$3/10000)^2)</f>
        <v>2.7300399999999999E-2</v>
      </c>
    </row>
    <row r="5" spans="1:12" x14ac:dyDescent="0.25">
      <c r="A5" t="s">
        <v>20</v>
      </c>
      <c r="B5">
        <v>2</v>
      </c>
      <c r="C5" s="1">
        <v>100000000</v>
      </c>
      <c r="D5">
        <v>2.46</v>
      </c>
      <c r="E5">
        <v>1.85</v>
      </c>
      <c r="F5">
        <v>0.3</v>
      </c>
      <c r="G5">
        <v>4.0000000000000001E-3</v>
      </c>
      <c r="H5">
        <v>0.1</v>
      </c>
      <c r="I5">
        <f>(D5/100)*'01_PARAMETRES'!$B$2+G5-E5*('01_PARAMETRES'!$B$3/10000)+0.5*F5*(('01_PARAMETRES'!$B$3/10000)^2)</f>
        <v>3.2300600000000006E-2</v>
      </c>
    </row>
    <row r="6" spans="1:12" x14ac:dyDescent="0.25">
      <c r="A6" t="s">
        <v>21</v>
      </c>
      <c r="B6">
        <v>5</v>
      </c>
      <c r="C6" s="1">
        <v>150000000</v>
      </c>
      <c r="D6">
        <v>2.83</v>
      </c>
      <c r="E6">
        <v>4.3</v>
      </c>
      <c r="F6">
        <v>0.5</v>
      </c>
      <c r="G6">
        <v>0.01</v>
      </c>
      <c r="H6">
        <v>0.15</v>
      </c>
      <c r="I6">
        <f>(D6/100)*'01_PARAMETRES'!$B$2+G6-E6*('01_PARAMETRES'!$B$3/10000)+0.5*F6*(('01_PARAMETRES'!$B$3/10000)^2)</f>
        <v>4.6900999999999998E-2</v>
      </c>
    </row>
    <row r="7" spans="1:12" x14ac:dyDescent="0.25">
      <c r="A7" t="s">
        <v>22</v>
      </c>
      <c r="B7">
        <v>10</v>
      </c>
      <c r="C7" s="1">
        <v>250000000</v>
      </c>
      <c r="D7">
        <v>3.22</v>
      </c>
      <c r="E7">
        <v>7.5</v>
      </c>
      <c r="F7">
        <v>0.8</v>
      </c>
      <c r="G7">
        <v>0.02</v>
      </c>
      <c r="H7">
        <v>0.25</v>
      </c>
      <c r="I7">
        <f>(D7/100)*'01_PARAMETRES'!$B$2+G7-E7*('01_PARAMETRES'!$B$3/10000)+0.5*F7*(('01_PARAMETRES'!$B$3/10000)^2)</f>
        <v>6.72016E-2</v>
      </c>
    </row>
    <row r="8" spans="1:12" x14ac:dyDescent="0.25">
      <c r="A8" t="s">
        <v>23</v>
      </c>
      <c r="B8">
        <v>15</v>
      </c>
      <c r="C8" s="1">
        <v>150000000</v>
      </c>
      <c r="D8">
        <v>3.62</v>
      </c>
      <c r="E8">
        <v>9.5</v>
      </c>
      <c r="F8">
        <v>1</v>
      </c>
      <c r="G8">
        <v>0.03</v>
      </c>
      <c r="H8">
        <v>0.15</v>
      </c>
      <c r="I8">
        <f>(D8/100)*'01_PARAMETRES'!$B$2+G8-E8*('01_PARAMETRES'!$B$3/10000)+0.5*F8*(('01_PARAMETRES'!$B$3/10000)^2)</f>
        <v>8.5202000000000014E-2</v>
      </c>
    </row>
    <row r="9" spans="1:12" x14ac:dyDescent="0.25">
      <c r="A9" t="s">
        <v>24</v>
      </c>
      <c r="B9">
        <v>20</v>
      </c>
      <c r="C9" s="1">
        <v>100000000</v>
      </c>
      <c r="D9">
        <v>3.77</v>
      </c>
      <c r="E9">
        <v>11</v>
      </c>
      <c r="F9">
        <v>1.2</v>
      </c>
      <c r="G9">
        <v>0.04</v>
      </c>
      <c r="H9">
        <v>0.1</v>
      </c>
      <c r="I9">
        <f>(D9/100)*'01_PARAMETRES'!$B$2+G9-E9*('01_PARAMETRES'!$B$3/10000)+0.5*F9*(('01_PARAMETRES'!$B$3/10000)^2)</f>
        <v>9.9702399999999983E-2</v>
      </c>
    </row>
    <row r="10" spans="1:12" x14ac:dyDescent="0.25">
      <c r="A10" t="s">
        <v>25</v>
      </c>
      <c r="B10">
        <v>30</v>
      </c>
      <c r="C10" s="1">
        <v>50000000</v>
      </c>
      <c r="D10">
        <v>4.12</v>
      </c>
      <c r="E10">
        <v>13</v>
      </c>
      <c r="F10">
        <v>1.5</v>
      </c>
      <c r="G10">
        <v>0.06</v>
      </c>
      <c r="H10">
        <v>0.05</v>
      </c>
      <c r="I10">
        <f>(D10/100)*'01_PARAMETRES'!$B$2+G10-E10*('01_PARAMETRES'!$B$3/10000)+0.5*F10*(('01_PARAMETRES'!$B$3/10000)^2)</f>
        <v>0.12720300000000001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22.85546875" bestFit="1" customWidth="1"/>
  </cols>
  <sheetData>
    <row r="1" spans="1:4" x14ac:dyDescent="0.25">
      <c r="A1" t="s">
        <v>26</v>
      </c>
      <c r="B1" t="s">
        <v>3</v>
      </c>
      <c r="C1" t="s">
        <v>27</v>
      </c>
      <c r="D1" t="s">
        <v>28</v>
      </c>
    </row>
    <row r="2" spans="1:4" x14ac:dyDescent="0.25">
      <c r="A2" t="s">
        <v>29</v>
      </c>
      <c r="B2">
        <v>-25</v>
      </c>
      <c r="C2">
        <v>0.2</v>
      </c>
      <c r="D2">
        <f>SUMPRODUCT('02_PORTEFEUILLE'!H2:H10,(('02_PORTEFEUILLE'!D2:D10/100)*'01_PARAMETRES'!$B$2)+'02_PORTEFEUILLE'!G2:G10-('02_PORTEFEUILLE'!E2:E10*(B2/10000))+0.5*'02_PORTEFEUILLE'!F2:F10*((B2/10000)^2))</f>
        <v>6.4268375000000003E-2</v>
      </c>
    </row>
    <row r="3" spans="1:4" x14ac:dyDescent="0.25">
      <c r="A3" t="s">
        <v>30</v>
      </c>
      <c r="B3">
        <v>0</v>
      </c>
      <c r="C3">
        <v>0.8</v>
      </c>
      <c r="D3">
        <f>SUMPRODUCT('02_PORTEFEUILLE'!H2:H10,(('02_PORTEFEUILLE'!D2:D10/100)*'01_PARAMETRES'!$B$2)+'02_PORTEFEUILLE'!G2:G10-('02_PORTEFEUILLE'!E2:E10*(B3/10000))+0.5*'02_PORTEFEUILLE'!F2:F10*((B3/10000)^2))</f>
        <v>4.9235000000000001E-2</v>
      </c>
    </row>
    <row r="4" spans="1:4" x14ac:dyDescent="0.25">
      <c r="A4" t="s">
        <v>31</v>
      </c>
      <c r="B4">
        <v>25</v>
      </c>
      <c r="C4">
        <v>0</v>
      </c>
      <c r="D4">
        <f>SUMPRODUCT('02_PORTEFEUILLE'!H2:H10,(('02_PORTEFEUILLE'!D2:D10/100)*'01_PARAMETRES'!$B$2)+'02_PORTEFEUILLE'!G2:G10-('02_PORTEFEUILLE'!E2:E10*(B4/10000))+0.5*'02_PORTEFEUILLE'!F2:F10*((B4/10000)^2))</f>
        <v>3.4205875000000004E-2</v>
      </c>
    </row>
    <row r="6" spans="1:4" x14ac:dyDescent="0.25">
      <c r="A6" t="s">
        <v>32</v>
      </c>
      <c r="B6">
        <f>SUMPRODUCT(C2:C4,D2:D4)</f>
        <v>5.2241675000000008E-2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01_PARAMETRES</vt:lpstr>
      <vt:lpstr>02_PORTEFEUILLE</vt:lpstr>
      <vt:lpstr>03_SCENARIOS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BOUKHNIF Fouad</dc:creator>
  <cp:keywords/>
  <dc:description/>
  <cp:lastModifiedBy>BOUKHNIF Fouad</cp:lastModifiedBy>
  <cp:revision/>
  <dcterms:created xsi:type="dcterms:W3CDTF">2026-08-23T21:37:57Z</dcterms:created>
  <dcterms:modified xsi:type="dcterms:W3CDTF">2026-08-23T22:44:25Z</dcterms:modified>
  <cp:category/>
  <cp:contentStatus/>
</cp:coreProperties>
</file>